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4940" windowHeight="7770"/>
  </bookViews>
  <sheets>
    <sheet name="Solicitud de cotización (F37)" sheetId="7" r:id="rId1"/>
  </sheets>
  <definedNames>
    <definedName name="_xlnm.Print_Area" localSheetId="0">'Solicitud de cotización (F37)'!$A$1:$N$72</definedName>
  </definedNames>
  <calcPr calcId="144525"/>
</workbook>
</file>

<file path=xl/calcChain.xml><?xml version="1.0" encoding="utf-8"?>
<calcChain xmlns="http://schemas.openxmlformats.org/spreadsheetml/2006/main">
  <c r="J58" i="7"/>
  <c r="J50"/>
  <c r="L40"/>
  <c r="E71" l="1"/>
  <c r="E72"/>
</calcChain>
</file>

<file path=xl/comments1.xml><?xml version="1.0" encoding="utf-8"?>
<comments xmlns="http://schemas.openxmlformats.org/spreadsheetml/2006/main">
  <authors>
    <author>Franco Molina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Franco Molina:</t>
        </r>
        <r>
          <rPr>
            <sz val="9"/>
            <color indexed="81"/>
            <rFont val="Tahoma"/>
            <family val="2"/>
          </rPr>
          <t xml:space="preserve">
DIRECCIÓN DE ENVÍO DEL CERTIFICADO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Franco Molina:</t>
        </r>
        <r>
          <rPr>
            <sz val="9"/>
            <color indexed="81"/>
            <rFont val="Tahoma"/>
            <family val="2"/>
          </rPr>
          <t xml:space="preserve">
COMUNA / DIRECCIÓN DE ENVÍO DEL CERTIFICADO</t>
        </r>
      </text>
    </comment>
    <comment ref="H13" authorId="0">
      <text>
        <r>
          <rPr>
            <b/>
            <sz val="8"/>
            <color indexed="81"/>
            <rFont val="Tahoma"/>
            <family val="2"/>
          </rPr>
          <t>DIRECCION DE DESPACHO:</t>
        </r>
        <r>
          <rPr>
            <sz val="9"/>
            <color indexed="81"/>
            <rFont val="Tahoma"/>
            <family val="2"/>
          </rPr>
          <t xml:space="preserve">
solo para masas que llegan al laboratorio</t>
        </r>
      </text>
    </comment>
    <comment ref="E19" authorId="0">
      <text>
        <r>
          <rPr>
            <b/>
            <sz val="8"/>
            <color indexed="81"/>
            <rFont val="Tahoma"/>
            <family val="2"/>
          </rPr>
          <t>TIPO DE BASCULA:</t>
        </r>
        <r>
          <rPr>
            <sz val="9"/>
            <color indexed="81"/>
            <rFont val="Tahoma"/>
            <family val="2"/>
          </rPr>
          <t xml:space="preserve">
1.- por ejes
2.- comercial completa
3.- ejes y comercial
4.- semicompleta
5.- semicompleta y ejes
COLOCAR EL NUMERO QUE CORRESPONDE</t>
        </r>
      </text>
    </comment>
    <comment ref="F19" authorId="0">
      <text>
        <r>
          <rPr>
            <b/>
            <sz val="8"/>
            <color indexed="81"/>
            <rFont val="Tahoma"/>
            <family val="2"/>
          </rPr>
          <t>PUNTOS A CALIBRAR: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SE DEBE COLOCAR LAS CAPACIDADES EN DONDE SE REQUIERE CALIBRAR.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CONSIDERAR EL RANGO DE USO DEL EQUIPO.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NO SIEMPRE ES NECESARIO REALIZAR LA CALIBRACION EN LA CAPACIDAD MAXIMA</t>
        </r>
      </text>
    </comment>
    <comment ref="J19" authorId="0">
      <text>
        <r>
          <rPr>
            <b/>
            <sz val="8"/>
            <color indexed="81"/>
            <rFont val="Tahoma"/>
            <family val="2"/>
          </rPr>
          <t>ESTADO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1.- operativa
2.- fuera de servicio
3.- sin mantención
4.- evidente mal estado
COLOCAR EL NUMERO QUE CORRESPONDE</t>
        </r>
      </text>
    </comment>
    <comment ref="M19" authorId="0">
      <text>
        <r>
          <rPr>
            <b/>
            <sz val="9"/>
            <color indexed="81"/>
            <rFont val="Tahoma"/>
            <family val="2"/>
          </rPr>
          <t>VALOR:</t>
        </r>
        <r>
          <rPr>
            <sz val="9"/>
            <color indexed="81"/>
            <rFont val="Tahoma"/>
            <family val="2"/>
          </rPr>
          <t xml:space="preserve">
Vendedor puede colocar precio si es conocido, en negrita rojo</t>
        </r>
      </text>
    </comment>
    <comment ref="E29" authorId="0">
      <text>
        <r>
          <rPr>
            <b/>
            <sz val="9"/>
            <color indexed="81"/>
            <rFont val="Tahoma"/>
            <family val="2"/>
          </rPr>
          <t>TIPO:</t>
        </r>
        <r>
          <rPr>
            <sz val="9"/>
            <color indexed="81"/>
            <rFont val="Tahoma"/>
            <family val="2"/>
          </rPr>
          <t xml:space="preserve">
1.- unicelda bench
2.- sobre mesa
3.- laboratorio
4.- plataforma
5.- dinamometros
6.- estanques, tolvas
COLOCAR EL  NUMERO QUE CORRESPONDE
</t>
        </r>
      </text>
    </comment>
    <comment ref="F29" authorId="0">
      <text>
        <r>
          <rPr>
            <b/>
            <sz val="9"/>
            <color indexed="81"/>
            <rFont val="Tahoma"/>
            <family val="2"/>
          </rPr>
          <t>PUNTOS: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SE DEBE COLOCAR LAS CAPACIDADES EN DONDE SE REQUIERE CALIBRAR.
CONSIDERAR EL RANGO DE USO DEL EQUIPO.
NO SIEMPRE ES NECESARIO REALIZAR LA CALIBRACION EN LA CAPACIDAD MAXIMA</t>
        </r>
      </text>
    </comment>
    <comment ref="G29" authorId="0">
      <text>
        <r>
          <rPr>
            <b/>
            <sz val="9"/>
            <color indexed="81"/>
            <rFont val="Tahoma"/>
            <family val="2"/>
          </rPr>
          <t>CAPACIDAD:</t>
        </r>
        <r>
          <rPr>
            <sz val="9"/>
            <color indexed="81"/>
            <rFont val="Tahoma"/>
            <family val="2"/>
          </rPr>
          <t xml:space="preserve">
indicar unidad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GRADUACION:</t>
        </r>
        <r>
          <rPr>
            <sz val="9"/>
            <color indexed="81"/>
            <rFont val="Tahoma"/>
            <family val="2"/>
          </rPr>
          <t xml:space="preserve">
indicar unidad</t>
        </r>
      </text>
    </comment>
    <comment ref="I29" authorId="0">
      <text>
        <r>
          <rPr>
            <b/>
            <sz val="9"/>
            <color indexed="81"/>
            <rFont val="Tahoma"/>
            <family val="2"/>
          </rPr>
          <t>ESTADO:</t>
        </r>
        <r>
          <rPr>
            <sz val="9"/>
            <color indexed="81"/>
            <rFont val="Tahoma"/>
            <family val="2"/>
          </rPr>
          <t xml:space="preserve">
1.- operativa
2.- fuera de servicio
3.- sin mantención
4.- evidente mal estado
COLOCAR EL NUMERO QUE CORRESPONDE</t>
        </r>
      </text>
    </comment>
    <comment ref="L29" authorId="0">
      <text>
        <r>
          <rPr>
            <b/>
            <sz val="9"/>
            <color indexed="81"/>
            <rFont val="Tahoma"/>
            <family val="2"/>
          </rPr>
          <t>VALOR:
Vendedor puede colocar precio si es conocido, en negrita rojo</t>
        </r>
      </text>
    </comment>
    <comment ref="D44" authorId="0">
      <text>
        <r>
          <rPr>
            <b/>
            <sz val="9"/>
            <color indexed="81"/>
            <rFont val="Tahoma"/>
            <family val="2"/>
          </rPr>
          <t>MODELO:</t>
        </r>
        <r>
          <rPr>
            <sz val="9"/>
            <color indexed="81"/>
            <rFont val="Tahoma"/>
            <family val="2"/>
          </rPr>
          <t xml:space="preserve">
1.- tipo Maleta
2.- Cilindrica
3.- Otras</t>
        </r>
      </text>
    </comment>
    <comment ref="E44" authorId="0">
      <text>
        <r>
          <rPr>
            <b/>
            <sz val="9"/>
            <color indexed="81"/>
            <rFont val="Tahoma"/>
            <family val="2"/>
          </rPr>
          <t>ESTADO:</t>
        </r>
        <r>
          <rPr>
            <sz val="9"/>
            <color indexed="81"/>
            <rFont val="Tahoma"/>
            <family val="2"/>
          </rPr>
          <t xml:space="preserve">
1.- Fierro Fundido
2.- Acero Inox
3.- Acero Cromado
COLOCAR EL NUMERO QUE CORRESPONDE</t>
        </r>
      </text>
    </comment>
    <comment ref="G44" authorId="0">
      <text>
        <r>
          <rPr>
            <b/>
            <sz val="9"/>
            <color indexed="81"/>
            <rFont val="Tahoma"/>
            <family val="2"/>
          </rPr>
          <t>ESTADO:</t>
        </r>
        <r>
          <rPr>
            <sz val="9"/>
            <color indexed="81"/>
            <rFont val="Tahoma"/>
            <family val="2"/>
          </rPr>
          <t xml:space="preserve">
1.- buen estado
2.- mal estado
3.- rayadas
4.- con perdida de material</t>
        </r>
      </text>
    </comment>
    <comment ref="J44" authorId="0">
      <text>
        <r>
          <rPr>
            <b/>
            <sz val="9"/>
            <color indexed="81"/>
            <rFont val="Tahoma"/>
            <family val="2"/>
          </rPr>
          <t>VALOR:
Vendedor puede colocar precio si es conocido, en negrita rojo</t>
        </r>
      </text>
    </comment>
    <comment ref="J54" authorId="0">
      <text>
        <r>
          <rPr>
            <b/>
            <sz val="9"/>
            <color indexed="81"/>
            <rFont val="Tahoma"/>
            <family val="2"/>
          </rPr>
          <t>VALOR:
Vendedor puede colocar precio si es conocido, en negrita rojo</t>
        </r>
      </text>
    </comment>
    <comment ref="D72" authorId="0">
      <text>
        <r>
          <rPr>
            <b/>
            <sz val="9"/>
            <color indexed="81"/>
            <rFont val="Tahoma"/>
            <family val="2"/>
          </rPr>
          <t>Franco Molina:</t>
        </r>
        <r>
          <rPr>
            <sz val="9"/>
            <color indexed="81"/>
            <rFont val="Tahoma"/>
            <family val="2"/>
          </rPr>
          <t xml:space="preserve">
azul indica que cobraron mas. Revisar si incluyeron otro item dentro del mismo codigo.
Rojo indica que cobraron menos al presupuesto. aclarar</t>
        </r>
      </text>
    </comment>
  </commentList>
</comments>
</file>

<file path=xl/sharedStrings.xml><?xml version="1.0" encoding="utf-8"?>
<sst xmlns="http://schemas.openxmlformats.org/spreadsheetml/2006/main" count="109" uniqueCount="74">
  <si>
    <t>Marca</t>
  </si>
  <si>
    <t>Modelo</t>
  </si>
  <si>
    <t>Detalle Balanzas</t>
  </si>
  <si>
    <t>Cantidad</t>
  </si>
  <si>
    <t>Capacidad</t>
  </si>
  <si>
    <t>Estado</t>
  </si>
  <si>
    <t>Fono Contacto :</t>
  </si>
  <si>
    <t>Dirección Cliente:</t>
  </si>
  <si>
    <t>Masas</t>
  </si>
  <si>
    <t>Lugar Servicio :</t>
  </si>
  <si>
    <t>Correo Contacto :</t>
  </si>
  <si>
    <t>Nro</t>
  </si>
  <si>
    <t>Requiere Ajuste</t>
  </si>
  <si>
    <t>Nombre Contacto :</t>
  </si>
  <si>
    <t>Rango Uso</t>
  </si>
  <si>
    <t>Detalle Pesometros</t>
  </si>
  <si>
    <t xml:space="preserve">Material </t>
  </si>
  <si>
    <t>Tipo</t>
  </si>
  <si>
    <t>Fecha Solicitud :</t>
  </si>
  <si>
    <t>Detalle Báscula Camión</t>
  </si>
  <si>
    <t>Comuna del Servicio :</t>
  </si>
  <si>
    <t xml:space="preserve">item </t>
  </si>
  <si>
    <t>Fecha Ultima Mantención</t>
  </si>
  <si>
    <t>Fecha Ultima Calibración</t>
  </si>
  <si>
    <t>Cap. (ton)</t>
  </si>
  <si>
    <t>Grad (Kg)</t>
  </si>
  <si>
    <t>Clase (OIML)</t>
  </si>
  <si>
    <t>Vendedor :</t>
  </si>
  <si>
    <t>Cliente ( Razon Soc.) :</t>
  </si>
  <si>
    <t>Direcc Envío Certific :</t>
  </si>
  <si>
    <t>Capacidad (ton/hr)</t>
  </si>
  <si>
    <t>¿El personal  del laboratorio está capacitado para efectuar este trabajo?</t>
  </si>
  <si>
    <t>¿Se cuenta con el equipamiento necesario y adecuado para efectuar este trabajo?</t>
  </si>
  <si>
    <t>¿Se podrá hacer el trabajo en la fecha solicitada?</t>
  </si>
  <si>
    <t>SI</t>
  </si>
  <si>
    <t>NO</t>
  </si>
  <si>
    <t>USO INTERNO DEL LABORATORIO</t>
  </si>
  <si>
    <t>Direcc de despacho :</t>
  </si>
  <si>
    <t>N° factura</t>
  </si>
  <si>
    <t>Monto Neto</t>
  </si>
  <si>
    <t>Diferencia</t>
  </si>
  <si>
    <t>N° Orden Compra :</t>
  </si>
  <si>
    <t>N° Nota Venta :</t>
  </si>
  <si>
    <t>Completar solo si está vendido</t>
  </si>
  <si>
    <t>1 de 1</t>
  </si>
  <si>
    <t>Total</t>
  </si>
  <si>
    <t>Fecha :</t>
  </si>
  <si>
    <t>Revisión :</t>
  </si>
  <si>
    <t>Página :</t>
  </si>
  <si>
    <t>Fecha Tentativa</t>
  </si>
  <si>
    <t>FORMULARIO - F37</t>
  </si>
  <si>
    <t>Pesaje MOP</t>
  </si>
  <si>
    <t>N°</t>
  </si>
  <si>
    <t>OBSERVACIONES</t>
  </si>
  <si>
    <t>COMUNICACIÓN CON EL CLIENTE</t>
  </si>
  <si>
    <t xml:space="preserve">Cap. </t>
  </si>
  <si>
    <t xml:space="preserve">Grad </t>
  </si>
  <si>
    <t>Periodicidad (veces/año)</t>
  </si>
  <si>
    <t>Años</t>
  </si>
  <si>
    <t xml:space="preserve">Puntos </t>
  </si>
  <si>
    <t>Solicitud de Calibración</t>
  </si>
  <si>
    <t>Requiere mant.</t>
  </si>
  <si>
    <t xml:space="preserve">LAS FECHAS QUE SE ENCUENTREN RESERVADAS DEBEN SER CONFIRMADAS 5 DIAS HABILES ANTES DEL SERVICIO, DE LO CONTRARIO SE ANULARÁ EL SERVICIO </t>
  </si>
  <si>
    <t>MENCIONAR SI CLIENTE PUEDE  MOVILIZAR MASAS DE 500KG PARA CASOS QUE NO ES POSIBLE ENTRAR CON CAMION</t>
  </si>
  <si>
    <t>Fecha Ultima Cal</t>
  </si>
  <si>
    <t>Comuna / Ciudad Env :</t>
  </si>
  <si>
    <t>N° IT</t>
  </si>
  <si>
    <t>valor total cotizado</t>
  </si>
  <si>
    <t>Valor Unitario</t>
  </si>
  <si>
    <t>CVC</t>
  </si>
  <si>
    <t>ANAGRA S.A</t>
  </si>
  <si>
    <t>PUERTO MONTT</t>
  </si>
  <si>
    <t>PESAMATIC</t>
  </si>
  <si>
    <t>MAYO-216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</si>
</sst>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1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8"/>
      <color indexed="81"/>
      <name val="Tahoma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2" fillId="0" borderId="0" xfId="0" applyFont="1" applyProtection="1"/>
    <xf numFmtId="0" fontId="2" fillId="2" borderId="1" xfId="0" applyFont="1" applyFill="1" applyBorder="1" applyProtection="1"/>
    <xf numFmtId="164" fontId="1" fillId="0" borderId="0" xfId="1" applyNumberFormat="1" applyFont="1" applyFill="1" applyBorder="1" applyAlignment="1" applyProtection="1">
      <alignment horizontal="right"/>
    </xf>
    <xf numFmtId="0" fontId="1" fillId="0" borderId="0" xfId="0" applyFont="1" applyAlignment="1" applyProtection="1">
      <alignment horizontal="right"/>
    </xf>
    <xf numFmtId="0" fontId="2" fillId="0" borderId="1" xfId="0" applyFont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 wrapText="1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protection locked="0"/>
    </xf>
    <xf numFmtId="0" fontId="3" fillId="0" borderId="1" xfId="0" applyFont="1" applyFill="1" applyBorder="1" applyAlignment="1" applyProtection="1">
      <protection locked="0"/>
    </xf>
    <xf numFmtId="0" fontId="2" fillId="2" borderId="1" xfId="0" applyFont="1" applyFill="1" applyBorder="1" applyProtection="1">
      <protection locked="0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14" fontId="1" fillId="6" borderId="5" xfId="0" applyNumberFormat="1" applyFont="1" applyFill="1" applyBorder="1" applyAlignment="1" applyProtection="1">
      <protection locked="0"/>
    </xf>
    <xf numFmtId="0" fontId="1" fillId="6" borderId="5" xfId="0" applyFont="1" applyFill="1" applyBorder="1" applyAlignment="1" applyProtection="1"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164" fontId="2" fillId="0" borderId="2" xfId="1" applyNumberFormat="1" applyFont="1" applyFill="1" applyBorder="1" applyAlignment="1" applyProtection="1">
      <alignment horizontal="center"/>
    </xf>
    <xf numFmtId="0" fontId="3" fillId="3" borderId="20" xfId="0" applyFont="1" applyFill="1" applyBorder="1" applyAlignment="1" applyProtection="1">
      <alignment horizontal="center" vertical="center" wrapText="1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/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2" fillId="3" borderId="28" xfId="0" applyFont="1" applyFill="1" applyBorder="1" applyAlignment="1" applyProtection="1">
      <alignment horizontal="center" vertical="center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7" fillId="2" borderId="0" xfId="0" applyFont="1" applyFill="1" applyProtection="1"/>
    <xf numFmtId="0" fontId="7" fillId="2" borderId="0" xfId="0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vertical="top"/>
    </xf>
    <xf numFmtId="0" fontId="0" fillId="0" borderId="30" xfId="0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3" fillId="4" borderId="0" xfId="0" applyFont="1" applyFill="1" applyBorder="1" applyAlignment="1" applyProtection="1">
      <alignment horizontal="center"/>
      <protection locked="0"/>
    </xf>
    <xf numFmtId="0" fontId="1" fillId="4" borderId="0" xfId="0" applyFont="1" applyFill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protection locked="0"/>
    </xf>
    <xf numFmtId="0" fontId="0" fillId="0" borderId="18" xfId="0" applyBorder="1" applyProtection="1">
      <protection locked="0"/>
    </xf>
    <xf numFmtId="164" fontId="0" fillId="0" borderId="0" xfId="1" applyNumberFormat="1" applyFont="1" applyFill="1" applyBorder="1" applyAlignment="1" applyProtection="1">
      <alignment horizontal="center"/>
      <protection locked="0"/>
    </xf>
    <xf numFmtId="164" fontId="1" fillId="0" borderId="0" xfId="1" applyNumberFormat="1" applyFont="1" applyFill="1" applyBorder="1" applyAlignment="1" applyProtection="1">
      <alignment horizontal="right"/>
      <protection locked="0"/>
    </xf>
    <xf numFmtId="164" fontId="0" fillId="7" borderId="2" xfId="0" applyNumberFormat="1" applyFill="1" applyBorder="1" applyProtection="1"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protection locked="0"/>
    </xf>
    <xf numFmtId="164" fontId="1" fillId="0" borderId="0" xfId="1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right"/>
      <protection locked="0"/>
    </xf>
    <xf numFmtId="164" fontId="0" fillId="0" borderId="0" xfId="0" applyNumberFormat="1" applyFill="1" applyBorder="1" applyProtection="1">
      <protection locked="0"/>
    </xf>
    <xf numFmtId="0" fontId="7" fillId="0" borderId="0" xfId="0" applyFont="1" applyFill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0" fillId="0" borderId="2" xfId="0" applyBorder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0" xfId="0" applyFont="1" applyBorder="1" applyAlignment="1" applyProtection="1"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wrapText="1"/>
      <protection locked="0"/>
    </xf>
    <xf numFmtId="0" fontId="8" fillId="0" borderId="0" xfId="0" applyFont="1" applyFill="1" applyBorder="1" applyAlignment="1" applyProtection="1">
      <alignment horizontal="left" wrapText="1"/>
      <protection locked="0"/>
    </xf>
    <xf numFmtId="164" fontId="2" fillId="2" borderId="1" xfId="0" applyNumberFormat="1" applyFont="1" applyFill="1" applyBorder="1" applyProtection="1">
      <protection locked="0"/>
    </xf>
    <xf numFmtId="0" fontId="7" fillId="4" borderId="14" xfId="0" applyFont="1" applyFill="1" applyBorder="1" applyAlignment="1" applyProtection="1">
      <alignment horizontal="center" vertical="center"/>
    </xf>
    <xf numFmtId="164" fontId="0" fillId="0" borderId="0" xfId="0" applyNumberFormat="1" applyBorder="1" applyProtection="1">
      <protection locked="0"/>
    </xf>
    <xf numFmtId="16" fontId="3" fillId="0" borderId="2" xfId="0" applyNumberFormat="1" applyFont="1" applyFill="1" applyBorder="1" applyAlignment="1" applyProtection="1">
      <protection locked="0"/>
    </xf>
    <xf numFmtId="0" fontId="2" fillId="0" borderId="7" xfId="0" applyFont="1" applyBorder="1" applyAlignment="1" applyProtection="1"/>
    <xf numFmtId="0" fontId="3" fillId="0" borderId="23" xfId="0" applyFont="1" applyBorder="1" applyAlignment="1" applyProtection="1"/>
    <xf numFmtId="0" fontId="3" fillId="0" borderId="24" xfId="0" applyFont="1" applyBorder="1" applyAlignment="1" applyProtection="1"/>
    <xf numFmtId="16" fontId="3" fillId="0" borderId="1" xfId="0" applyNumberFormat="1" applyFont="1" applyFill="1" applyBorder="1" applyAlignment="1" applyProtection="1">
      <protection locked="0"/>
    </xf>
    <xf numFmtId="0" fontId="3" fillId="4" borderId="9" xfId="0" applyFont="1" applyFill="1" applyBorder="1" applyAlignment="1" applyProtection="1">
      <alignment horizontal="right" vertical="center"/>
    </xf>
    <xf numFmtId="14" fontId="3" fillId="4" borderId="10" xfId="0" applyNumberFormat="1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right" vertical="center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1" fillId="3" borderId="3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32" xfId="0" applyFont="1" applyFill="1" applyBorder="1" applyAlignment="1" applyProtection="1">
      <alignment horizontal="center" vertical="center" wrapText="1"/>
    </xf>
    <xf numFmtId="0" fontId="1" fillId="0" borderId="0" xfId="0" applyFont="1" applyProtection="1">
      <protection locked="0"/>
    </xf>
    <xf numFmtId="14" fontId="3" fillId="0" borderId="2" xfId="0" applyNumberFormat="1" applyFont="1" applyFill="1" applyBorder="1" applyAlignment="1" applyProtection="1">
      <protection locked="0"/>
    </xf>
    <xf numFmtId="1" fontId="3" fillId="0" borderId="2" xfId="0" applyNumberFormat="1" applyFont="1" applyFill="1" applyBorder="1" applyAlignment="1" applyProtection="1">
      <protection locked="0"/>
    </xf>
    <xf numFmtId="0" fontId="2" fillId="8" borderId="1" xfId="0" applyFont="1" applyFill="1" applyBorder="1" applyProtection="1"/>
    <xf numFmtId="0" fontId="16" fillId="9" borderId="37" xfId="0" applyFont="1" applyFill="1" applyBorder="1" applyProtection="1">
      <protection locked="0"/>
    </xf>
    <xf numFmtId="0" fontId="2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left"/>
      <protection locked="0"/>
    </xf>
    <xf numFmtId="0" fontId="0" fillId="0" borderId="0" xfId="0" applyFill="1" applyProtection="1">
      <protection locked="0"/>
    </xf>
    <xf numFmtId="164" fontId="2" fillId="8" borderId="1" xfId="0" applyNumberFormat="1" applyFont="1" applyFill="1" applyBorder="1" applyProtection="1"/>
    <xf numFmtId="0" fontId="16" fillId="9" borderId="36" xfId="0" applyFont="1" applyFill="1" applyBorder="1" applyProtection="1"/>
    <xf numFmtId="3" fontId="3" fillId="0" borderId="2" xfId="0" applyNumberFormat="1" applyFont="1" applyFill="1" applyBorder="1" applyAlignment="1" applyProtection="1">
      <protection locked="0"/>
    </xf>
    <xf numFmtId="17" fontId="3" fillId="0" borderId="2" xfId="0" applyNumberFormat="1" applyFont="1" applyFill="1" applyBorder="1" applyAlignment="1" applyProtection="1">
      <protection locked="0"/>
    </xf>
    <xf numFmtId="0" fontId="11" fillId="0" borderId="9" xfId="0" applyFont="1" applyBorder="1" applyAlignment="1" applyProtection="1">
      <alignment horizontal="center" vertical="center"/>
    </xf>
    <xf numFmtId="0" fontId="11" fillId="0" borderId="11" xfId="0" applyFont="1" applyBorder="1" applyAlignment="1" applyProtection="1">
      <alignment horizontal="center" vertical="center"/>
    </xf>
    <xf numFmtId="0" fontId="11" fillId="0" borderId="10" xfId="0" applyFont="1" applyBorder="1" applyAlignment="1" applyProtection="1">
      <alignment horizontal="center" vertical="center"/>
    </xf>
    <xf numFmtId="0" fontId="11" fillId="0" borderId="14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15" xfId="0" applyFont="1" applyBorder="1" applyAlignment="1" applyProtection="1">
      <alignment horizontal="center" vertical="center"/>
    </xf>
    <xf numFmtId="0" fontId="11" fillId="0" borderId="9" xfId="0" applyFont="1" applyFill="1" applyBorder="1" applyAlignment="1" applyProtection="1">
      <alignment horizontal="center" vertical="center"/>
    </xf>
    <xf numFmtId="0" fontId="11" fillId="0" borderId="11" xfId="0" applyFont="1" applyFill="1" applyBorder="1" applyAlignment="1" applyProtection="1">
      <alignment horizontal="center" vertical="center"/>
    </xf>
    <xf numFmtId="0" fontId="11" fillId="0" borderId="10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1" fillId="0" borderId="8" xfId="0" applyFont="1" applyFill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17" fillId="0" borderId="10" xfId="0" applyFont="1" applyFill="1" applyBorder="1" applyAlignment="1" applyProtection="1">
      <alignment horizontal="center"/>
      <protection locked="0"/>
    </xf>
    <xf numFmtId="0" fontId="17" fillId="0" borderId="15" xfId="0" applyFont="1" applyFill="1" applyBorder="1" applyAlignment="1" applyProtection="1">
      <alignment horizontal="center"/>
      <protection locked="0"/>
    </xf>
    <xf numFmtId="0" fontId="12" fillId="0" borderId="9" xfId="0" applyFont="1" applyFill="1" applyBorder="1" applyAlignment="1" applyProtection="1">
      <alignment horizontal="center"/>
    </xf>
    <xf numFmtId="0" fontId="12" fillId="0" borderId="14" xfId="0" applyFont="1" applyFill="1" applyBorder="1" applyAlignment="1" applyProtection="1">
      <alignment horizontal="center"/>
    </xf>
    <xf numFmtId="0" fontId="7" fillId="0" borderId="25" xfId="0" applyFont="1" applyFill="1" applyBorder="1" applyAlignment="1" applyProtection="1">
      <alignment horizontal="center"/>
    </xf>
    <xf numFmtId="0" fontId="7" fillId="0" borderId="26" xfId="0" applyFont="1" applyFill="1" applyBorder="1" applyAlignment="1" applyProtection="1">
      <alignment horizontal="center"/>
    </xf>
    <xf numFmtId="0" fontId="7" fillId="0" borderId="27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left"/>
    </xf>
    <xf numFmtId="0" fontId="7" fillId="0" borderId="17" xfId="0" applyFont="1" applyFill="1" applyBorder="1" applyAlignment="1" applyProtection="1">
      <alignment horizontal="center"/>
    </xf>
    <xf numFmtId="0" fontId="7" fillId="0" borderId="18" xfId="0" applyFont="1" applyFill="1" applyBorder="1" applyAlignment="1" applyProtection="1">
      <alignment horizontal="center"/>
    </xf>
    <xf numFmtId="0" fontId="7" fillId="0" borderId="19" xfId="0" applyFont="1" applyFill="1" applyBorder="1" applyAlignment="1" applyProtection="1">
      <alignment horizontal="center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left"/>
      <protection locked="0"/>
    </xf>
    <xf numFmtId="0" fontId="3" fillId="5" borderId="1" xfId="0" applyFont="1" applyFill="1" applyBorder="1" applyAlignment="1" applyProtection="1">
      <alignment horizontal="right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1" fillId="6" borderId="5" xfId="0" applyFont="1" applyFill="1" applyBorder="1" applyAlignment="1" applyProtection="1">
      <alignment horizontal="center"/>
      <protection locked="0"/>
    </xf>
    <xf numFmtId="0" fontId="1" fillId="6" borderId="6" xfId="0" applyFont="1" applyFill="1" applyBorder="1" applyAlignment="1" applyProtection="1">
      <alignment horizontal="center"/>
      <protection locked="0"/>
    </xf>
    <xf numFmtId="0" fontId="1" fillId="6" borderId="7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left" wrapText="1"/>
    </xf>
    <xf numFmtId="0" fontId="7" fillId="0" borderId="33" xfId="0" applyFont="1" applyFill="1" applyBorder="1" applyAlignment="1" applyProtection="1">
      <alignment horizontal="center"/>
    </xf>
    <xf numFmtId="0" fontId="7" fillId="0" borderId="34" xfId="0" applyFont="1" applyFill="1" applyBorder="1" applyAlignment="1" applyProtection="1">
      <alignment horizontal="center"/>
    </xf>
    <xf numFmtId="0" fontId="7" fillId="0" borderId="35" xfId="0" applyFont="1" applyFill="1" applyBorder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3" fillId="5" borderId="1" xfId="0" applyFont="1" applyFill="1" applyBorder="1" applyAlignment="1" applyProtection="1">
      <alignment horizontal="center"/>
    </xf>
    <xf numFmtId="0" fontId="7" fillId="0" borderId="25" xfId="0" applyFont="1" applyFill="1" applyBorder="1" applyAlignment="1" applyProtection="1">
      <alignment horizontal="center"/>
      <protection locked="0"/>
    </xf>
    <xf numFmtId="0" fontId="7" fillId="0" borderId="26" xfId="0" applyFont="1" applyFill="1" applyBorder="1" applyAlignment="1" applyProtection="1">
      <alignment horizontal="center"/>
      <protection locked="0"/>
    </xf>
    <xf numFmtId="0" fontId="7" fillId="0" borderId="27" xfId="0" applyFont="1" applyFill="1" applyBorder="1" applyAlignment="1" applyProtection="1">
      <alignment horizontal="center"/>
      <protection locked="0"/>
    </xf>
    <xf numFmtId="0" fontId="15" fillId="0" borderId="8" xfId="0" applyFont="1" applyBorder="1" applyAlignment="1" applyProtection="1">
      <alignment horizontal="center"/>
    </xf>
    <xf numFmtId="0" fontId="2" fillId="8" borderId="1" xfId="0" applyFont="1" applyFill="1" applyBorder="1" applyAlignment="1" applyProtection="1">
      <alignment horizontal="center"/>
    </xf>
    <xf numFmtId="0" fontId="1" fillId="6" borderId="5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 applyAlignment="1" applyProtection="1">
      <alignment horizontal="left"/>
      <protection locked="0"/>
    </xf>
    <xf numFmtId="0" fontId="1" fillId="6" borderId="4" xfId="0" applyFont="1" applyFill="1" applyBorder="1" applyAlignment="1" applyProtection="1">
      <alignment horizontal="left"/>
      <protection locked="0"/>
    </xf>
    <xf numFmtId="0" fontId="2" fillId="5" borderId="1" xfId="0" applyFont="1" applyFill="1" applyBorder="1" applyAlignment="1" applyProtection="1">
      <alignment horizontal="right"/>
    </xf>
    <xf numFmtId="0" fontId="4" fillId="6" borderId="5" xfId="2" applyFill="1" applyBorder="1" applyAlignment="1" applyProtection="1">
      <alignment horizontal="center"/>
      <protection locked="0"/>
    </xf>
    <xf numFmtId="0" fontId="4" fillId="6" borderId="3" xfId="2" applyFill="1" applyBorder="1" applyAlignment="1" applyProtection="1">
      <alignment horizontal="center"/>
      <protection locked="0"/>
    </xf>
    <xf numFmtId="0" fontId="4" fillId="6" borderId="4" xfId="2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213597</xdr:colOff>
      <xdr:row>0</xdr:row>
      <xdr:rowOff>0</xdr:rowOff>
    </xdr:from>
    <xdr:to>
      <xdr:col>1</xdr:col>
      <xdr:colOff>470648</xdr:colOff>
      <xdr:row>3</xdr:row>
      <xdr:rowOff>112059</xdr:rowOff>
    </xdr:to>
    <xdr:pic>
      <xdr:nvPicPr>
        <xdr:cNvPr id="2" name="1 Imagen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597" y="0"/>
          <a:ext cx="750110" cy="683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10581</xdr:colOff>
      <xdr:row>60</xdr:row>
      <xdr:rowOff>21167</xdr:rowOff>
    </xdr:from>
    <xdr:to>
      <xdr:col>13</xdr:col>
      <xdr:colOff>605118</xdr:colOff>
      <xdr:row>60</xdr:row>
      <xdr:rowOff>1195916</xdr:rowOff>
    </xdr:to>
    <xdr:sp macro="" textlink="" fLocksText="0">
      <xdr:nvSpPr>
        <xdr:cNvPr id="5" name="4 CuadroTexto"/>
        <xdr:cNvSpPr txBox="1"/>
      </xdr:nvSpPr>
      <xdr:spPr>
        <a:xfrm>
          <a:off x="10581" y="10532285"/>
          <a:ext cx="10971184" cy="117474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s-ES" sz="1100"/>
        </a:p>
      </xdr:txBody>
    </xdr:sp>
    <xdr:clientData fLocksWithSheet="0"/>
  </xdr:twoCellAnchor>
  <xdr:twoCellAnchor>
    <xdr:from>
      <xdr:col>0</xdr:col>
      <xdr:colOff>21167</xdr:colOff>
      <xdr:row>68</xdr:row>
      <xdr:rowOff>10582</xdr:rowOff>
    </xdr:from>
    <xdr:to>
      <xdr:col>11</xdr:col>
      <xdr:colOff>21168</xdr:colOff>
      <xdr:row>68</xdr:row>
      <xdr:rowOff>1185331</xdr:rowOff>
    </xdr:to>
    <xdr:sp macro="" textlink="" fLocksText="0">
      <xdr:nvSpPr>
        <xdr:cNvPr id="6" name="5 CuadroTexto"/>
        <xdr:cNvSpPr txBox="1"/>
      </xdr:nvSpPr>
      <xdr:spPr>
        <a:xfrm>
          <a:off x="21167" y="13188700"/>
          <a:ext cx="8785413" cy="117474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s-ES"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showGridLines="0" tabSelected="1" zoomScale="85" zoomScaleNormal="85" workbookViewId="0">
      <selection activeCell="D7" sqref="D7:D8"/>
    </sheetView>
  </sheetViews>
  <sheetFormatPr baseColWidth="10" defaultColWidth="0" defaultRowHeight="12.75" zeroHeight="1"/>
  <cols>
    <col min="1" max="1" width="7.42578125" style="32" customWidth="1"/>
    <col min="2" max="2" width="11.5703125" style="32" customWidth="1"/>
    <col min="3" max="3" width="22.85546875" style="32" customWidth="1"/>
    <col min="4" max="4" width="14.5703125" style="32" customWidth="1"/>
    <col min="5" max="5" width="12.28515625" style="32" customWidth="1"/>
    <col min="6" max="6" width="14" style="32" customWidth="1"/>
    <col min="7" max="7" width="9.28515625" style="32" customWidth="1"/>
    <col min="8" max="8" width="9.7109375" style="32" customWidth="1"/>
    <col min="9" max="9" width="11.5703125" style="32" customWidth="1"/>
    <col min="10" max="10" width="11.42578125" style="32" customWidth="1"/>
    <col min="11" max="11" width="13.28515625" style="32" customWidth="1"/>
    <col min="12" max="12" width="12.85546875" style="32" customWidth="1"/>
    <col min="13" max="13" width="11.7109375" style="32" customWidth="1"/>
    <col min="14" max="14" width="13.7109375" style="32" customWidth="1"/>
    <col min="15" max="15" width="22" style="32" customWidth="1"/>
    <col min="16" max="16384" width="11.42578125" style="32" hidden="1"/>
  </cols>
  <sheetData>
    <row r="1" spans="1:14" ht="15" customHeight="1">
      <c r="A1" s="114"/>
      <c r="B1" s="115"/>
      <c r="C1" s="88" t="s">
        <v>50</v>
      </c>
      <c r="D1" s="89"/>
      <c r="E1" s="89"/>
      <c r="F1" s="89"/>
      <c r="G1" s="89"/>
      <c r="H1" s="89"/>
      <c r="I1" s="89"/>
      <c r="J1" s="89"/>
      <c r="K1" s="89"/>
      <c r="L1" s="90"/>
      <c r="M1" s="68" t="s">
        <v>46</v>
      </c>
      <c r="N1" s="69">
        <v>42251</v>
      </c>
    </row>
    <row r="2" spans="1:14" ht="15" customHeight="1" thickBot="1">
      <c r="A2" s="116"/>
      <c r="B2" s="117"/>
      <c r="C2" s="91"/>
      <c r="D2" s="92"/>
      <c r="E2" s="92"/>
      <c r="F2" s="92"/>
      <c r="G2" s="92"/>
      <c r="H2" s="92"/>
      <c r="I2" s="92"/>
      <c r="J2" s="92"/>
      <c r="K2" s="92"/>
      <c r="L2" s="93"/>
      <c r="M2" s="70" t="s">
        <v>47</v>
      </c>
      <c r="N2" s="71">
        <v>2</v>
      </c>
    </row>
    <row r="3" spans="1:14" ht="15" customHeight="1">
      <c r="A3" s="116"/>
      <c r="B3" s="117"/>
      <c r="C3" s="94" t="s">
        <v>60</v>
      </c>
      <c r="D3" s="95"/>
      <c r="E3" s="95"/>
      <c r="F3" s="95"/>
      <c r="G3" s="95"/>
      <c r="H3" s="95"/>
      <c r="I3" s="95"/>
      <c r="J3" s="95"/>
      <c r="K3" s="95"/>
      <c r="L3" s="96"/>
      <c r="M3" s="70" t="s">
        <v>48</v>
      </c>
      <c r="N3" s="71" t="s">
        <v>44</v>
      </c>
    </row>
    <row r="4" spans="1:14" ht="15.75" customHeight="1" thickBot="1">
      <c r="A4" s="118"/>
      <c r="B4" s="119"/>
      <c r="C4" s="97"/>
      <c r="D4" s="98"/>
      <c r="E4" s="98"/>
      <c r="F4" s="98"/>
      <c r="G4" s="98"/>
      <c r="H4" s="98"/>
      <c r="I4" s="98"/>
      <c r="J4" s="98"/>
      <c r="K4" s="98"/>
      <c r="L4" s="99"/>
      <c r="M4" s="61"/>
      <c r="N4" s="33"/>
    </row>
    <row r="5" spans="1:14" ht="12.75" customHeight="1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</row>
    <row r="6" spans="1:14" ht="12.75" customHeight="1" thickBot="1">
      <c r="A6" s="34"/>
      <c r="B6" s="34"/>
      <c r="C6" s="34"/>
      <c r="D6" s="34"/>
      <c r="E6" s="34"/>
      <c r="F6" s="34"/>
      <c r="G6" s="34"/>
      <c r="H6" s="27" t="s">
        <v>43</v>
      </c>
      <c r="I6" s="28"/>
      <c r="J6" s="35"/>
      <c r="K6" s="34"/>
      <c r="L6" s="34"/>
    </row>
    <row r="7" spans="1:14">
      <c r="A7" s="107" t="s">
        <v>18</v>
      </c>
      <c r="B7" s="107"/>
      <c r="C7" s="14">
        <v>42600</v>
      </c>
      <c r="D7" s="102" t="s">
        <v>52</v>
      </c>
      <c r="E7" s="100"/>
      <c r="H7" s="138" t="s">
        <v>13</v>
      </c>
      <c r="I7" s="138"/>
      <c r="J7" s="112"/>
      <c r="K7" s="112"/>
      <c r="L7" s="112"/>
    </row>
    <row r="8" spans="1:14" ht="13.5" thickBot="1">
      <c r="A8" s="107" t="s">
        <v>27</v>
      </c>
      <c r="B8" s="107"/>
      <c r="C8" s="15" t="s">
        <v>69</v>
      </c>
      <c r="D8" s="103"/>
      <c r="E8" s="101"/>
      <c r="F8" s="76"/>
      <c r="H8" s="138" t="s">
        <v>6</v>
      </c>
      <c r="I8" s="138"/>
      <c r="J8" s="135"/>
      <c r="K8" s="136"/>
      <c r="L8" s="137"/>
    </row>
    <row r="9" spans="1:14">
      <c r="A9" s="107" t="s">
        <v>28</v>
      </c>
      <c r="B9" s="107"/>
      <c r="C9" s="120" t="s">
        <v>70</v>
      </c>
      <c r="D9" s="121"/>
      <c r="E9" s="122"/>
      <c r="H9" s="138" t="s">
        <v>10</v>
      </c>
      <c r="I9" s="138"/>
      <c r="J9" s="139"/>
      <c r="K9" s="140"/>
      <c r="L9" s="141"/>
    </row>
    <row r="10" spans="1:14">
      <c r="A10" s="107" t="s">
        <v>20</v>
      </c>
      <c r="B10" s="107"/>
      <c r="C10" s="112" t="s">
        <v>71</v>
      </c>
      <c r="D10" s="112"/>
      <c r="E10" s="112"/>
      <c r="H10" s="138" t="s">
        <v>7</v>
      </c>
      <c r="I10" s="138"/>
      <c r="J10" s="112"/>
      <c r="K10" s="112"/>
      <c r="L10" s="112"/>
    </row>
    <row r="11" spans="1:14">
      <c r="A11" s="107" t="s">
        <v>9</v>
      </c>
      <c r="B11" s="107"/>
      <c r="C11" s="112" t="s">
        <v>71</v>
      </c>
      <c r="D11" s="112"/>
      <c r="E11" s="112"/>
      <c r="H11" s="113" t="s">
        <v>29</v>
      </c>
      <c r="I11" s="113"/>
      <c r="J11" s="112"/>
      <c r="K11" s="112"/>
      <c r="L11" s="112"/>
    </row>
    <row r="12" spans="1:14">
      <c r="A12" s="81"/>
      <c r="B12" s="81"/>
      <c r="C12" s="82"/>
      <c r="D12" s="82"/>
      <c r="E12" s="82"/>
      <c r="H12" s="113" t="s">
        <v>65</v>
      </c>
      <c r="I12" s="113"/>
      <c r="J12" s="112"/>
      <c r="K12" s="112"/>
      <c r="L12" s="112"/>
    </row>
    <row r="13" spans="1:14">
      <c r="A13" s="83"/>
      <c r="B13" s="83"/>
      <c r="C13" s="83"/>
      <c r="D13" s="83"/>
      <c r="E13" s="83"/>
      <c r="F13" s="76"/>
      <c r="H13" s="113" t="s">
        <v>37</v>
      </c>
      <c r="I13" s="113"/>
      <c r="J13" s="112"/>
      <c r="K13" s="112"/>
      <c r="L13" s="112"/>
    </row>
    <row r="14" spans="1:14">
      <c r="A14" s="36"/>
      <c r="H14" s="113" t="s">
        <v>42</v>
      </c>
      <c r="I14" s="113"/>
      <c r="J14" s="112"/>
      <c r="K14" s="112"/>
      <c r="L14" s="112"/>
    </row>
    <row r="15" spans="1:14">
      <c r="H15" s="129" t="s">
        <v>41</v>
      </c>
      <c r="I15" s="129"/>
      <c r="J15" s="111"/>
      <c r="K15" s="111"/>
      <c r="L15" s="111"/>
    </row>
    <row r="16" spans="1:14">
      <c r="H16" s="37"/>
      <c r="I16" s="37"/>
      <c r="J16" s="38"/>
      <c r="K16" s="38"/>
      <c r="L16" s="38"/>
    </row>
    <row r="17" spans="1:14" ht="16.5" customHeight="1" thickBot="1">
      <c r="A17" s="133" t="s">
        <v>62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</row>
    <row r="18" spans="1:14" ht="15">
      <c r="A18" s="108" t="s">
        <v>19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10"/>
    </row>
    <row r="19" spans="1:14" ht="24">
      <c r="A19" s="31" t="s">
        <v>21</v>
      </c>
      <c r="B19" s="12" t="s">
        <v>3</v>
      </c>
      <c r="C19" s="13" t="s">
        <v>0</v>
      </c>
      <c r="D19" s="13" t="s">
        <v>1</v>
      </c>
      <c r="E19" s="13" t="s">
        <v>17</v>
      </c>
      <c r="F19" s="13" t="s">
        <v>59</v>
      </c>
      <c r="G19" s="13" t="s">
        <v>51</v>
      </c>
      <c r="H19" s="13" t="s">
        <v>24</v>
      </c>
      <c r="I19" s="13" t="s">
        <v>25</v>
      </c>
      <c r="J19" s="13" t="s">
        <v>5</v>
      </c>
      <c r="K19" s="13" t="s">
        <v>22</v>
      </c>
      <c r="L19" s="13" t="s">
        <v>64</v>
      </c>
      <c r="M19" s="13" t="s">
        <v>68</v>
      </c>
      <c r="N19" s="13" t="s">
        <v>49</v>
      </c>
    </row>
    <row r="20" spans="1:14">
      <c r="A20" s="30">
        <v>1</v>
      </c>
      <c r="B20" s="9">
        <v>1</v>
      </c>
      <c r="C20" s="9" t="s">
        <v>72</v>
      </c>
      <c r="D20" s="9"/>
      <c r="E20" s="9">
        <v>2</v>
      </c>
      <c r="F20" s="9"/>
      <c r="G20" s="9"/>
      <c r="H20" s="9">
        <v>60000</v>
      </c>
      <c r="I20" s="78">
        <v>10</v>
      </c>
      <c r="J20" s="9">
        <v>1</v>
      </c>
      <c r="K20" s="87" t="s">
        <v>73</v>
      </c>
      <c r="L20" s="87">
        <v>42491</v>
      </c>
      <c r="M20" s="86"/>
      <c r="N20" s="77"/>
    </row>
    <row r="21" spans="1:14">
      <c r="A21" s="19">
        <v>2</v>
      </c>
      <c r="B21" s="10"/>
      <c r="C21" s="10"/>
      <c r="D21" s="10"/>
      <c r="E21" s="10"/>
      <c r="F21" s="10"/>
      <c r="G21" s="10"/>
      <c r="H21" s="10"/>
      <c r="I21" s="78"/>
      <c r="J21" s="10"/>
      <c r="K21" s="10"/>
      <c r="L21" s="10"/>
      <c r="M21" s="10"/>
      <c r="N21" s="67"/>
    </row>
    <row r="22" spans="1:14">
      <c r="A22" s="19">
        <v>3</v>
      </c>
      <c r="B22" s="9"/>
      <c r="C22" s="9"/>
      <c r="D22" s="9"/>
      <c r="E22" s="9"/>
      <c r="F22" s="9"/>
      <c r="G22" s="9"/>
      <c r="H22" s="9"/>
      <c r="I22" s="78"/>
      <c r="J22" s="9"/>
      <c r="K22" s="9"/>
      <c r="L22" s="9"/>
      <c r="M22" s="9"/>
      <c r="N22" s="63"/>
    </row>
    <row r="23" spans="1:14">
      <c r="A23" s="19">
        <v>4</v>
      </c>
      <c r="B23" s="10"/>
      <c r="C23" s="10"/>
      <c r="D23" s="10"/>
      <c r="E23" s="10"/>
      <c r="F23" s="10"/>
      <c r="G23" s="10"/>
      <c r="H23" s="10"/>
      <c r="I23" s="78"/>
      <c r="J23" s="10"/>
      <c r="K23" s="10"/>
      <c r="L23" s="10"/>
      <c r="M23" s="10"/>
      <c r="N23" s="10"/>
    </row>
    <row r="24" spans="1:14" ht="13.5" thickBot="1">
      <c r="A24" s="20">
        <v>5</v>
      </c>
      <c r="B24" s="9"/>
      <c r="C24" s="9"/>
      <c r="D24" s="9"/>
      <c r="E24" s="9"/>
      <c r="F24" s="9"/>
      <c r="G24" s="9"/>
      <c r="H24" s="9"/>
      <c r="I24" s="78"/>
      <c r="J24" s="9"/>
      <c r="K24" s="9"/>
      <c r="L24" s="9"/>
      <c r="M24" s="9"/>
      <c r="N24" s="9"/>
    </row>
    <row r="25" spans="1:14">
      <c r="A25" s="65" t="s">
        <v>57</v>
      </c>
      <c r="B25" s="66"/>
      <c r="C25" s="39"/>
      <c r="D25" s="17" t="s">
        <v>58</v>
      </c>
      <c r="E25" s="40"/>
      <c r="F25" s="41"/>
      <c r="J25" s="41"/>
      <c r="K25" s="41"/>
      <c r="L25" s="3" t="s">
        <v>45</v>
      </c>
      <c r="M25" s="43"/>
    </row>
    <row r="26" spans="1:14">
      <c r="A26" s="44"/>
      <c r="B26" s="45"/>
      <c r="C26" s="46"/>
      <c r="D26" s="47"/>
      <c r="E26" s="41"/>
      <c r="F26" s="47"/>
      <c r="G26" s="47"/>
      <c r="H26" s="41"/>
      <c r="I26" s="41"/>
      <c r="J26" s="41"/>
      <c r="K26" s="41"/>
      <c r="L26" s="42"/>
      <c r="M26" s="48"/>
    </row>
    <row r="27" spans="1:14" ht="13.5" thickBot="1"/>
    <row r="28" spans="1:14" ht="15">
      <c r="A28" s="104" t="s">
        <v>2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49"/>
    </row>
    <row r="29" spans="1:14" ht="24">
      <c r="A29" s="31" t="s">
        <v>11</v>
      </c>
      <c r="B29" s="12" t="s">
        <v>3</v>
      </c>
      <c r="C29" s="12" t="s">
        <v>0</v>
      </c>
      <c r="D29" s="12" t="s">
        <v>1</v>
      </c>
      <c r="E29" s="12" t="s">
        <v>17</v>
      </c>
      <c r="F29" s="13" t="s">
        <v>59</v>
      </c>
      <c r="G29" s="13" t="s">
        <v>55</v>
      </c>
      <c r="H29" s="13" t="s">
        <v>56</v>
      </c>
      <c r="I29" s="13" t="s">
        <v>5</v>
      </c>
      <c r="J29" s="13" t="s">
        <v>22</v>
      </c>
      <c r="K29" s="13" t="s">
        <v>23</v>
      </c>
      <c r="L29" s="13" t="s">
        <v>68</v>
      </c>
      <c r="M29" s="13" t="s">
        <v>49</v>
      </c>
    </row>
    <row r="30" spans="1:14">
      <c r="A30" s="30">
        <v>1</v>
      </c>
      <c r="B30" s="9"/>
      <c r="C30" s="9"/>
      <c r="D30" s="9"/>
      <c r="E30" s="9"/>
      <c r="F30" s="9"/>
      <c r="G30" s="9"/>
      <c r="H30" s="9"/>
      <c r="I30" s="9"/>
      <c r="J30" s="9"/>
      <c r="K30" s="87"/>
      <c r="L30" s="9"/>
      <c r="M30" s="9"/>
    </row>
    <row r="31" spans="1:14">
      <c r="A31" s="19">
        <v>2</v>
      </c>
      <c r="B31" s="9"/>
      <c r="C31" s="9"/>
      <c r="D31" s="9"/>
      <c r="E31" s="9"/>
      <c r="F31" s="9"/>
      <c r="G31" s="9"/>
      <c r="H31" s="9"/>
      <c r="I31" s="9"/>
      <c r="J31" s="9"/>
      <c r="K31" s="87"/>
      <c r="L31" s="9"/>
      <c r="M31" s="9"/>
    </row>
    <row r="32" spans="1:14">
      <c r="A32" s="19">
        <v>3</v>
      </c>
      <c r="B32" s="9"/>
      <c r="C32" s="9"/>
      <c r="D32" s="9"/>
      <c r="E32" s="9"/>
      <c r="F32" s="9"/>
      <c r="G32" s="9"/>
      <c r="H32" s="9"/>
      <c r="I32" s="9"/>
      <c r="J32" s="9"/>
      <c r="K32" s="87"/>
      <c r="L32" s="9"/>
      <c r="M32" s="9"/>
    </row>
    <row r="33" spans="1:15">
      <c r="A33" s="19">
        <v>4</v>
      </c>
      <c r="B33" s="9"/>
      <c r="C33" s="9"/>
      <c r="D33" s="9"/>
      <c r="E33" s="9"/>
      <c r="F33" s="9"/>
      <c r="G33" s="9"/>
      <c r="H33" s="9"/>
      <c r="I33" s="9"/>
      <c r="J33" s="9"/>
      <c r="K33" s="87"/>
      <c r="L33" s="9"/>
      <c r="M33" s="9"/>
    </row>
    <row r="34" spans="1:15">
      <c r="A34" s="19">
        <v>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5">
      <c r="A35" s="19">
        <v>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5">
      <c r="A36" s="19">
        <v>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5">
      <c r="A37" s="19">
        <v>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5">
      <c r="A38" s="19">
        <v>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5" ht="13.5" thickBot="1">
      <c r="A39" s="20">
        <v>10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5">
      <c r="A40" s="21" t="s">
        <v>57</v>
      </c>
      <c r="B40" s="64"/>
      <c r="C40" s="50"/>
      <c r="D40" s="17" t="s">
        <v>58</v>
      </c>
      <c r="E40" s="51"/>
      <c r="K40" s="4" t="s">
        <v>45</v>
      </c>
      <c r="L40" s="43">
        <f>SUM(L30:L39)</f>
        <v>0</v>
      </c>
    </row>
    <row r="41" spans="1:15">
      <c r="K41" s="52"/>
      <c r="L41" s="48"/>
    </row>
    <row r="42" spans="1:15" ht="13.5" thickBot="1"/>
    <row r="43" spans="1:15" ht="15.75" thickBot="1">
      <c r="A43" s="125" t="s">
        <v>8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7"/>
      <c r="L43" s="53"/>
      <c r="M43" s="54"/>
      <c r="N43" s="54"/>
      <c r="O43" s="54"/>
    </row>
    <row r="44" spans="1:15" ht="24">
      <c r="A44" s="72" t="s">
        <v>11</v>
      </c>
      <c r="B44" s="73" t="s">
        <v>3</v>
      </c>
      <c r="C44" s="73" t="s">
        <v>4</v>
      </c>
      <c r="D44" s="73" t="s">
        <v>1</v>
      </c>
      <c r="E44" s="73" t="s">
        <v>16</v>
      </c>
      <c r="F44" s="73" t="s">
        <v>26</v>
      </c>
      <c r="G44" s="74" t="s">
        <v>5</v>
      </c>
      <c r="H44" s="74" t="s">
        <v>12</v>
      </c>
      <c r="I44" s="74" t="s">
        <v>61</v>
      </c>
      <c r="J44" s="73" t="s">
        <v>68</v>
      </c>
      <c r="K44" s="75" t="s">
        <v>49</v>
      </c>
      <c r="L44" s="54"/>
      <c r="M44" s="54"/>
      <c r="N44" s="54"/>
      <c r="O44" s="54"/>
    </row>
    <row r="45" spans="1:15">
      <c r="A45" s="22">
        <v>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54"/>
      <c r="M45" s="54"/>
      <c r="N45" s="54"/>
      <c r="O45" s="54"/>
    </row>
    <row r="46" spans="1:15">
      <c r="A46" s="22">
        <v>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54"/>
      <c r="M46" s="54"/>
      <c r="N46" s="54"/>
      <c r="O46" s="54"/>
    </row>
    <row r="47" spans="1:15">
      <c r="A47" s="22">
        <v>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54"/>
      <c r="M47" s="54"/>
      <c r="N47" s="54"/>
      <c r="O47" s="54"/>
    </row>
    <row r="48" spans="1:15">
      <c r="A48" s="22">
        <v>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54"/>
      <c r="M48" s="54"/>
      <c r="N48" s="54"/>
      <c r="O48" s="54"/>
    </row>
    <row r="49" spans="1:15" ht="13.5" thickBot="1">
      <c r="A49" s="23">
        <v>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54"/>
      <c r="M49" s="54"/>
      <c r="N49" s="54"/>
      <c r="O49" s="54"/>
    </row>
    <row r="50" spans="1:15">
      <c r="A50" s="21" t="s">
        <v>57</v>
      </c>
      <c r="B50" s="64"/>
      <c r="C50" s="50"/>
      <c r="D50" s="17" t="s">
        <v>58</v>
      </c>
      <c r="E50" s="51"/>
      <c r="I50" s="4" t="s">
        <v>45</v>
      </c>
      <c r="J50" s="43">
        <f>SUM(J45:J49)</f>
        <v>0</v>
      </c>
    </row>
    <row r="51" spans="1:15">
      <c r="H51" s="52"/>
      <c r="I51" s="48"/>
    </row>
    <row r="52" spans="1:15" ht="13.5" thickBot="1"/>
    <row r="53" spans="1:15" ht="15">
      <c r="A53" s="130" t="s">
        <v>15</v>
      </c>
      <c r="B53" s="131"/>
      <c r="C53" s="131"/>
      <c r="D53" s="131"/>
      <c r="E53" s="131"/>
      <c r="F53" s="131"/>
      <c r="G53" s="131"/>
      <c r="H53" s="131"/>
      <c r="I53" s="131"/>
      <c r="J53" s="131"/>
      <c r="K53" s="132"/>
      <c r="L53" s="49"/>
      <c r="M53" s="49"/>
      <c r="N53" s="54"/>
    </row>
    <row r="54" spans="1:15" ht="36.75" customHeight="1">
      <c r="A54" s="24" t="s">
        <v>11</v>
      </c>
      <c r="B54" s="12" t="s">
        <v>3</v>
      </c>
      <c r="C54" s="13" t="s">
        <v>0</v>
      </c>
      <c r="D54" s="13" t="s">
        <v>1</v>
      </c>
      <c r="E54" s="13" t="s">
        <v>30</v>
      </c>
      <c r="F54" s="13" t="s">
        <v>14</v>
      </c>
      <c r="G54" s="13" t="s">
        <v>5</v>
      </c>
      <c r="H54" s="13" t="s">
        <v>22</v>
      </c>
      <c r="I54" s="13" t="s">
        <v>23</v>
      </c>
      <c r="J54" s="13" t="s">
        <v>68</v>
      </c>
      <c r="K54" s="18" t="s">
        <v>49</v>
      </c>
      <c r="L54" s="54"/>
      <c r="M54" s="54"/>
      <c r="N54" s="54"/>
    </row>
    <row r="55" spans="1:15">
      <c r="A55" s="25">
        <v>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54"/>
      <c r="M55" s="54"/>
      <c r="N55" s="54"/>
    </row>
    <row r="56" spans="1:15">
      <c r="A56" s="25">
        <v>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54"/>
      <c r="M56" s="54"/>
      <c r="N56" s="54"/>
    </row>
    <row r="57" spans="1:15" ht="13.5" thickBot="1">
      <c r="A57" s="26">
        <v>3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54"/>
      <c r="M57" s="54"/>
      <c r="N57" s="54"/>
    </row>
    <row r="58" spans="1:15">
      <c r="A58" s="21" t="s">
        <v>57</v>
      </c>
      <c r="B58" s="64"/>
      <c r="C58" s="50"/>
      <c r="D58" s="17" t="s">
        <v>58</v>
      </c>
      <c r="E58" s="55"/>
      <c r="I58" s="4" t="s">
        <v>45</v>
      </c>
      <c r="J58" s="43">
        <f>SUM(J55:J57)</f>
        <v>0</v>
      </c>
      <c r="L58" s="54"/>
      <c r="M58" s="54"/>
      <c r="N58" s="54"/>
    </row>
    <row r="59" spans="1:15">
      <c r="A59" s="45"/>
      <c r="B59" s="45"/>
      <c r="C59" s="56"/>
      <c r="D59" s="57"/>
      <c r="E59" s="54"/>
      <c r="I59" s="52"/>
      <c r="J59" s="48"/>
      <c r="L59" s="54"/>
      <c r="M59" s="54"/>
      <c r="N59" s="54"/>
    </row>
    <row r="60" spans="1:15" ht="21.75" customHeight="1">
      <c r="A60" s="29" t="s">
        <v>53</v>
      </c>
      <c r="D60" s="128" t="s">
        <v>63</v>
      </c>
      <c r="E60" s="128"/>
      <c r="F60" s="128"/>
      <c r="G60" s="128"/>
      <c r="H60" s="128"/>
      <c r="I60" s="128"/>
      <c r="J60" s="128"/>
      <c r="K60" s="128"/>
      <c r="L60" s="128"/>
      <c r="M60" s="128"/>
      <c r="N60" s="54"/>
    </row>
    <row r="61" spans="1:15" s="54" customFormat="1" ht="95.25" customHeight="1">
      <c r="K61" s="47"/>
      <c r="L61" s="62"/>
    </row>
    <row r="62" spans="1:15">
      <c r="A62" s="1" t="s">
        <v>36</v>
      </c>
    </row>
    <row r="63" spans="1:15">
      <c r="B63" s="36"/>
      <c r="F63" s="5" t="s">
        <v>34</v>
      </c>
      <c r="G63" s="5" t="s">
        <v>35</v>
      </c>
    </row>
    <row r="64" spans="1:15" ht="16.5" customHeight="1">
      <c r="A64" s="124" t="s">
        <v>31</v>
      </c>
      <c r="B64" s="124"/>
      <c r="C64" s="124"/>
      <c r="D64" s="124"/>
      <c r="E64" s="124"/>
      <c r="F64" s="6"/>
      <c r="G64" s="6"/>
      <c r="H64" s="16"/>
    </row>
    <row r="65" spans="1:14" ht="16.5" customHeight="1">
      <c r="A65" s="124" t="s">
        <v>32</v>
      </c>
      <c r="B65" s="124"/>
      <c r="C65" s="124"/>
      <c r="D65" s="124"/>
      <c r="E65" s="124"/>
      <c r="F65" s="6"/>
      <c r="G65" s="6"/>
      <c r="H65" s="16"/>
    </row>
    <row r="66" spans="1:14" ht="16.5" customHeight="1">
      <c r="A66" s="124" t="s">
        <v>33</v>
      </c>
      <c r="B66" s="124"/>
      <c r="C66" s="124"/>
      <c r="D66" s="124"/>
      <c r="E66" s="124"/>
      <c r="F66" s="6"/>
      <c r="G66" s="6"/>
      <c r="H66" s="16"/>
    </row>
    <row r="67" spans="1:14" ht="16.5" customHeight="1">
      <c r="A67" s="59"/>
      <c r="B67" s="59"/>
      <c r="C67" s="59"/>
      <c r="D67" s="59"/>
      <c r="E67" s="59"/>
      <c r="F67" s="16"/>
      <c r="G67" s="16"/>
      <c r="H67" s="16"/>
      <c r="I67" s="58"/>
      <c r="J67" s="58"/>
      <c r="K67" s="54"/>
      <c r="L67" s="54"/>
      <c r="M67" s="54"/>
      <c r="N67" s="54"/>
    </row>
    <row r="68" spans="1:14" ht="18.75" customHeight="1">
      <c r="A68" s="1" t="s">
        <v>54</v>
      </c>
      <c r="D68" s="76"/>
    </row>
    <row r="69" spans="1:14" ht="108" customHeight="1" thickBot="1">
      <c r="A69" s="36"/>
    </row>
    <row r="70" spans="1:14" ht="16.5" thickBot="1">
      <c r="A70" s="142" t="s">
        <v>38</v>
      </c>
      <c r="B70" s="142"/>
      <c r="C70" s="11"/>
      <c r="D70" s="2" t="s">
        <v>39</v>
      </c>
      <c r="E70" s="11"/>
      <c r="G70" s="85" t="s">
        <v>66</v>
      </c>
      <c r="H70" s="80"/>
    </row>
    <row r="71" spans="1:14">
      <c r="A71" s="134"/>
      <c r="B71" s="134"/>
      <c r="C71" s="79" t="s">
        <v>67</v>
      </c>
      <c r="D71" s="79" t="s">
        <v>39</v>
      </c>
      <c r="E71" s="84">
        <f>(M25+L40+J50+J58)</f>
        <v>0</v>
      </c>
    </row>
    <row r="72" spans="1:14">
      <c r="D72" s="2" t="s">
        <v>40</v>
      </c>
      <c r="E72" s="60">
        <f>E70-(M25+L40+J50+J58)</f>
        <v>0</v>
      </c>
    </row>
    <row r="73" spans="1:14"/>
    <row r="74" spans="1:14" hidden="1"/>
    <row r="75" spans="1:14" ht="231.75" hidden="1" customHeight="1"/>
  </sheetData>
  <sheetProtection password="ECAC" sheet="1" objects="1" scenarios="1"/>
  <mergeCells count="43">
    <mergeCell ref="J12:L12"/>
    <mergeCell ref="H12:I12"/>
    <mergeCell ref="A71:B71"/>
    <mergeCell ref="J10:L10"/>
    <mergeCell ref="A7:B7"/>
    <mergeCell ref="A8:B8"/>
    <mergeCell ref="J8:L8"/>
    <mergeCell ref="C10:E10"/>
    <mergeCell ref="J7:L7"/>
    <mergeCell ref="H7:I7"/>
    <mergeCell ref="H8:I8"/>
    <mergeCell ref="H9:I9"/>
    <mergeCell ref="H10:I10"/>
    <mergeCell ref="J9:L9"/>
    <mergeCell ref="A70:B70"/>
    <mergeCell ref="H13:I13"/>
    <mergeCell ref="J13:L13"/>
    <mergeCell ref="H14:I14"/>
    <mergeCell ref="J14:L14"/>
    <mergeCell ref="H15:I15"/>
    <mergeCell ref="A53:K53"/>
    <mergeCell ref="A17:M17"/>
    <mergeCell ref="A64:E64"/>
    <mergeCell ref="A65:E65"/>
    <mergeCell ref="A66:E66"/>
    <mergeCell ref="A43:K43"/>
    <mergeCell ref="D60:M60"/>
    <mergeCell ref="C1:L2"/>
    <mergeCell ref="C3:L4"/>
    <mergeCell ref="E7:E8"/>
    <mergeCell ref="D7:D8"/>
    <mergeCell ref="A28:M28"/>
    <mergeCell ref="A11:B11"/>
    <mergeCell ref="A10:B10"/>
    <mergeCell ref="A9:B9"/>
    <mergeCell ref="A18:N18"/>
    <mergeCell ref="J15:L15"/>
    <mergeCell ref="J11:L11"/>
    <mergeCell ref="C11:E11"/>
    <mergeCell ref="H11:I11"/>
    <mergeCell ref="A1:B4"/>
    <mergeCell ref="C9:E9"/>
    <mergeCell ref="A5:L5"/>
  </mergeCells>
  <conditionalFormatting sqref="E71:E72">
    <cfRule type="cellIs" dxfId="5" priority="1" operator="greaterThan">
      <formula>0</formula>
    </cfRule>
    <cfRule type="cellIs" dxfId="4" priority="2" operator="lessThan">
      <formula>0</formula>
    </cfRule>
    <cfRule type="cellIs" dxfId="3" priority="3" operator="lessThan">
      <formula>0</formula>
    </cfRule>
    <cfRule type="cellIs" dxfId="2" priority="4" operator="lessThan">
      <formula>-5</formula>
    </cfRule>
    <cfRule type="cellIs" dxfId="1" priority="5" operator="lessThan">
      <formula>0</formula>
    </cfRule>
    <cfRule type="cellIs" dxfId="0" priority="6" operator="greaterThan">
      <formula>" -   "</formula>
    </cfRule>
  </conditionalFormatting>
  <dataValidations count="1">
    <dataValidation type="list" allowBlank="1" showInputMessage="1" showErrorMessage="1" sqref="J21:J24 F25 E26 I26">
      <formula1>#REF!</formula1>
    </dataValidation>
  </dataValidations>
  <pageMargins left="0.51181102362204722" right="0.31496062992125984" top="0.55118110236220474" bottom="0.55118110236220474" header="0.31496062992125984" footer="0.31496062992125984"/>
  <pageSetup scale="5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de cotización (F37)</vt:lpstr>
      <vt:lpstr>'Solicitud de cotización (F37)'!Área_de_impresión</vt:lpstr>
    </vt:vector>
  </TitlesOfParts>
  <Company>MOLINSTEC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MOLINA</dc:creator>
  <cp:lastModifiedBy>Microsoft</cp:lastModifiedBy>
  <cp:lastPrinted>2015-09-04T14:16:38Z</cp:lastPrinted>
  <dcterms:created xsi:type="dcterms:W3CDTF">2008-01-15T20:40:18Z</dcterms:created>
  <dcterms:modified xsi:type="dcterms:W3CDTF">2016-10-29T15:53:24Z</dcterms:modified>
</cp:coreProperties>
</file>